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i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pivotButton="0" quotePrefix="0" xfId="0"/>
    <xf numFmtId="0" fontId="0" fillId="3" borderId="0" pivotButton="0" quotePrefix="0" xfId="0"/>
    <xf numFmtId="0" fontId="0" fillId="0" borderId="1" applyAlignment="1" pivotButton="0" quotePrefix="0" xfId="0">
      <alignment indent="1"/>
    </xf>
    <xf numFmtId="3" fontId="0" fillId="0" borderId="1" pivotButton="0" quotePrefix="0" xfId="0"/>
    <xf numFmtId="0" fontId="0" fillId="3" borderId="1" applyAlignment="1" pivotButton="0" quotePrefix="0" xfId="0">
      <alignment indent="1"/>
    </xf>
    <xf numFmtId="3" fontId="0" fillId="3" borderId="1" pivotButton="0" quotePrefix="0" xfId="0"/>
    <xf numFmtId="0" fontId="1" fillId="3" borderId="0" pivotButton="0" quotePrefix="0" xfId="0"/>
    <xf numFmtId="3" fontId="0" fillId="3" borderId="0" pivotButton="0" quotePrefix="0" xfId="0"/>
    <xf numFmtId="0" fontId="1" fillId="0" borderId="1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20" customWidth="1" min="3" max="3"/>
    <col width="20" customWidth="1" min="4" max="4"/>
    <col width="20" customWidth="1" min="5" max="5"/>
    <col width="27" customWidth="1" min="6" max="6"/>
  </cols>
  <sheetData>
    <row r="1">
      <c r="A1" s="1" t="inlineStr">
        <is>
          <t>Account</t>
        </is>
      </c>
      <c r="B1" s="1" t="inlineStr">
        <is>
          <t>FY N-3</t>
        </is>
      </c>
      <c r="C1" s="1" t="inlineStr">
        <is>
          <t>FY N-2</t>
        </is>
      </c>
      <c r="D1" s="1" t="inlineStr">
        <is>
          <t>FY N-1</t>
        </is>
      </c>
      <c r="E1" s="1" t="inlineStr">
        <is>
          <t>FY N (Our Model)</t>
        </is>
      </c>
      <c r="F1" s="1" t="inlineStr">
        <is>
          <t>FY N (Guidance/Consensus)</t>
        </is>
      </c>
    </row>
    <row r="2">
      <c r="A2" s="2" t="inlineStr">
        <is>
          <t>Revenue</t>
        </is>
      </c>
      <c r="B2" s="3" t="n"/>
      <c r="C2" s="3" t="n"/>
      <c r="D2" s="3" t="n"/>
      <c r="E2" s="3" t="n"/>
      <c r="F2" s="3" t="n"/>
    </row>
    <row r="3">
      <c r="A3" s="4" t="inlineStr">
        <is>
          <t>• Segment A</t>
        </is>
      </c>
      <c r="B3" s="5" t="n">
        <v>100000</v>
      </c>
      <c r="C3" s="5" t="n">
        <v>120000</v>
      </c>
      <c r="D3" s="5" t="n">
        <v>140000</v>
      </c>
      <c r="E3" s="5" t="n">
        <v>155000</v>
      </c>
      <c r="F3" s="5" t="n">
        <v>150000</v>
      </c>
    </row>
    <row r="4">
      <c r="A4" s="6" t="inlineStr">
        <is>
          <t>• Segment B</t>
        </is>
      </c>
      <c r="B4" s="7" t="n">
        <v>50000</v>
      </c>
      <c r="C4" s="7" t="n">
        <v>60000</v>
      </c>
      <c r="D4" s="7" t="n">
        <v>80000</v>
      </c>
      <c r="E4" s="7" t="n">
        <v>90000</v>
      </c>
      <c r="F4" s="7" t="n">
        <v>88000</v>
      </c>
    </row>
    <row r="5">
      <c r="A5" s="4" t="inlineStr">
        <is>
          <t>• Segment C</t>
        </is>
      </c>
      <c r="B5" s="5" t="n">
        <v>25000</v>
      </c>
      <c r="C5" s="5" t="n">
        <v>30000</v>
      </c>
      <c r="D5" s="5" t="n">
        <v>35000</v>
      </c>
      <c r="E5" s="5" t="n">
        <v>38000</v>
      </c>
      <c r="F5" s="5" t="n">
        <v>37000</v>
      </c>
    </row>
    <row r="6">
      <c r="A6" s="8" t="inlineStr">
        <is>
          <t>Total Revenue</t>
        </is>
      </c>
      <c r="B6" s="9">
        <f>SUM(B3:B5)</f>
        <v/>
      </c>
      <c r="C6" s="9">
        <f>SUM(C3:C5)</f>
        <v/>
      </c>
      <c r="D6" s="9">
        <f>SUM(D3:D5)</f>
        <v/>
      </c>
      <c r="E6" s="9">
        <f>SUM(E3:E5)</f>
        <v/>
      </c>
      <c r="F6" s="9">
        <f>SUM(F3:F5)</f>
        <v/>
      </c>
    </row>
    <row r="7">
      <c r="A7" s="10" t="inlineStr">
        <is>
          <t>Cost of Revenue</t>
        </is>
      </c>
    </row>
    <row r="8">
      <c r="A8" s="6" t="inlineStr">
        <is>
          <t>• Infrastructure &amp; Depreciation</t>
        </is>
      </c>
      <c r="B8" s="7" t="n">
        <v>20000</v>
      </c>
      <c r="C8" s="7" t="n">
        <v>24000</v>
      </c>
      <c r="D8" s="7" t="n">
        <v>28000</v>
      </c>
      <c r="E8" s="7" t="n">
        <v>30000</v>
      </c>
      <c r="F8" s="7" t="n">
        <v>29000</v>
      </c>
    </row>
    <row r="9">
      <c r="A9" s="4" t="inlineStr">
        <is>
          <t>• Content/Partner Payments</t>
        </is>
      </c>
      <c r="B9" s="5" t="n">
        <v>15000</v>
      </c>
      <c r="C9" s="5" t="n">
        <v>18000</v>
      </c>
      <c r="D9" s="5" t="n">
        <v>21000</v>
      </c>
      <c r="E9" s="5" t="n">
        <v>23000</v>
      </c>
      <c r="F9" s="5" t="n">
        <v>22500</v>
      </c>
    </row>
    <row r="10">
      <c r="A10" s="6" t="inlineStr">
        <is>
          <t>• Payments Processing &amp; Other</t>
        </is>
      </c>
      <c r="B10" s="7" t="n">
        <v>5000</v>
      </c>
      <c r="C10" s="7" t="n">
        <v>6000</v>
      </c>
      <c r="D10" s="7" t="n">
        <v>7000</v>
      </c>
      <c r="E10" s="7" t="n">
        <v>7500</v>
      </c>
      <c r="F10" s="7" t="n">
        <v>7400</v>
      </c>
    </row>
    <row r="11">
      <c r="A11" s="11" t="inlineStr">
        <is>
          <t>Gross Profit</t>
        </is>
      </c>
      <c r="B11" s="12">
        <f>B5 - SUM(B8:B10)</f>
        <v/>
      </c>
      <c r="C11" s="12">
        <f>C5 - SUM(C8:C10)</f>
        <v/>
      </c>
      <c r="D11" s="12">
        <f>D5 - SUM(D8:D10)</f>
        <v/>
      </c>
      <c r="E11" s="12">
        <f>E5 - SUM(E8:E10)</f>
        <v/>
      </c>
      <c r="F11" s="12">
        <f>F5 - SUM(F8:F10)</f>
        <v/>
      </c>
    </row>
    <row r="12">
      <c r="A12" s="8" t="inlineStr">
        <is>
          <t>Gross Margin</t>
        </is>
      </c>
      <c r="B12" s="13">
        <f>B11/B5</f>
        <v/>
      </c>
      <c r="C12" s="13">
        <f>C11/C5</f>
        <v/>
      </c>
      <c r="D12" s="13">
        <f>D11/D5</f>
        <v/>
      </c>
      <c r="E12" s="13">
        <f>E11/E5</f>
        <v/>
      </c>
      <c r="F12" s="13">
        <f>F11/F5</f>
        <v/>
      </c>
    </row>
    <row r="13">
      <c r="A13" s="10" t="inlineStr">
        <is>
          <t>Operating Expenses</t>
        </is>
      </c>
    </row>
    <row r="14">
      <c r="A14" s="6" t="inlineStr">
        <is>
          <t>• R&amp;D</t>
        </is>
      </c>
      <c r="B14" s="7" t="n">
        <v>30000</v>
      </c>
      <c r="C14" s="7" t="n">
        <v>35000</v>
      </c>
      <c r="D14" s="7" t="n">
        <v>40000</v>
      </c>
      <c r="E14" s="7" t="n">
        <v>42000</v>
      </c>
      <c r="F14" s="7" t="n">
        <v>41000</v>
      </c>
    </row>
    <row r="15">
      <c r="A15" s="4" t="inlineStr">
        <is>
          <t>• Sales &amp; Marketing</t>
        </is>
      </c>
      <c r="B15" s="5" t="n">
        <v>25000</v>
      </c>
      <c r="C15" s="5" t="n">
        <v>28000</v>
      </c>
      <c r="D15" s="5" t="n">
        <v>32000</v>
      </c>
      <c r="E15" s="5" t="n">
        <v>34000</v>
      </c>
      <c r="F15" s="5" t="n">
        <v>33500</v>
      </c>
    </row>
    <row r="16">
      <c r="A16" s="6" t="inlineStr">
        <is>
          <t>• General &amp; Admin</t>
        </is>
      </c>
      <c r="B16" s="7" t="n">
        <v>10000</v>
      </c>
      <c r="C16" s="7" t="n">
        <v>12000</v>
      </c>
      <c r="D16" s="7" t="n">
        <v>14000</v>
      </c>
      <c r="E16" s="7" t="n">
        <v>15000</v>
      </c>
      <c r="F16" s="7" t="n">
        <v>14800</v>
      </c>
    </row>
    <row r="17">
      <c r="A17" s="11" t="inlineStr">
        <is>
          <t>Operating Income</t>
        </is>
      </c>
      <c r="B17" s="12">
        <f>B6 - SUM(B14:B16)</f>
        <v/>
      </c>
      <c r="C17" s="12">
        <f>C6 - SUM(C14:C16)</f>
        <v/>
      </c>
      <c r="D17" s="12">
        <f>D6 - SUM(D14:D16)</f>
        <v/>
      </c>
      <c r="E17" s="12">
        <f>E6 - SUM(E14:E16)</f>
        <v/>
      </c>
      <c r="F17" s="12">
        <f>F6 - SUM(F14:F16)</f>
        <v/>
      </c>
    </row>
    <row r="18">
      <c r="A18" s="8" t="inlineStr">
        <is>
          <t>Operating Margin</t>
        </is>
      </c>
      <c r="B18" s="13">
        <f>B17/B5</f>
        <v/>
      </c>
      <c r="C18" s="13">
        <f>C17/C5</f>
        <v/>
      </c>
      <c r="D18" s="13">
        <f>D17/D5</f>
        <v/>
      </c>
      <c r="E18" s="13">
        <f>E17/E5</f>
        <v/>
      </c>
      <c r="F18" s="13">
        <f>F17/F5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2026-01-17T20:53:45Z</dcterms:created>
  <dcterms:modified xsi:type="dcterms:W3CDTF">2026-01-17T20:53:45Z</dcterms:modified>
</cp:coreProperties>
</file>